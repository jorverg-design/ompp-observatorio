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44df191d2c8dddd/Escritorio/JV/VMC/"/>
    </mc:Choice>
  </mc:AlternateContent>
  <xr:revisionPtr revIDLastSave="0" documentId="8_{8644C02B-0A13-4E49-ACD4-CB91DF2C289A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Canasta_25" sheetId="1" r:id="rId1"/>
    <sheet name="Carga_Semanal" sheetId="2" r:id="rId2"/>
    <sheet name="Catalogo_Productos" sheetId="3" r:id="rId3"/>
    <sheet name="Catalogo_Locales" sheetId="4" r:id="rId4"/>
    <sheet name="Parametros" sheetId="5" r:id="rId5"/>
    <sheet name="Tomate_20-03-2026" sheetId="6" r:id="rId6"/>
    <sheet name="Control_Cambi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9" authorId="0" shapeId="0" xr:uid="{00000000-0006-0000-0000-000001000000}">
      <text>
        <r>
          <rPr>
            <sz val="10"/>
            <color rgb="FF000000"/>
            <rFont val="Calibri"/>
            <scheme val="minor"/>
          </rPr>
          <t>Actualización al 20/03/2026: Tomate actualizado con última referencia pública minorista disponible (≈Gs. 16.500–17.500/kg). Arroz, Aceite y Azúcar se arrastran desde la última observación cargada por falta de nueva referencia pública validada en este archivo.</t>
        </r>
      </text>
    </comment>
  </commentList>
</comments>
</file>

<file path=xl/sharedStrings.xml><?xml version="1.0" encoding="utf-8"?>
<sst xmlns="http://schemas.openxmlformats.org/spreadsheetml/2006/main" count="179" uniqueCount="108">
  <si>
    <t>Plantilla corregida para importación OMPP</t>
  </si>
  <si>
    <t>La fila 6 contiene productos y desde la fila 8 están los datos semanales.</t>
  </si>
  <si>
    <t>Fecha</t>
  </si>
  <si>
    <t>fecha_semana</t>
  </si>
  <si>
    <t>Arroz</t>
  </si>
  <si>
    <t>Aceite</t>
  </si>
  <si>
    <t>Azúcar</t>
  </si>
  <si>
    <t>Tomate</t>
  </si>
  <si>
    <t>ciudad</t>
  </si>
  <si>
    <t>zona</t>
  </si>
  <si>
    <t>canal</t>
  </si>
  <si>
    <t>local</t>
  </si>
  <si>
    <t>producto</t>
  </si>
  <si>
    <t>unidad</t>
  </si>
  <si>
    <t>precio</t>
  </si>
  <si>
    <t>observacion</t>
  </si>
  <si>
    <t>cargado_por</t>
  </si>
  <si>
    <t>Asunción</t>
  </si>
  <si>
    <t>Centro</t>
  </si>
  <si>
    <t>Supermercado</t>
  </si>
  <si>
    <t>Stock España</t>
  </si>
  <si>
    <t>kg</t>
  </si>
  <si>
    <t>Jorge</t>
  </si>
  <si>
    <t>lt</t>
  </si>
  <si>
    <t>Mercado</t>
  </si>
  <si>
    <t>Mercado 4</t>
  </si>
  <si>
    <t>Abasto</t>
  </si>
  <si>
    <t>Mayorista</t>
  </si>
  <si>
    <t>Mercado de Abasto</t>
  </si>
  <si>
    <t>Última referencia pública disponible al 20/03/2026. Mayorista ≈ Gs. 5.000–6.000/kg. Fuentes: https://www.abc.com.py/negocios/abc-campo/2026/03/04/tras-la-caida-de-casi-50-del-precio-del-tomate-el-mag-confirma-cierre-de-la-importacion/ | https://www.ultimahora.com/importan-1-4-millones-de-kilos-de-tomate-y-bajan-los-precios</t>
  </si>
  <si>
    <t>OpenAI</t>
  </si>
  <si>
    <t>Retail</t>
  </si>
  <si>
    <t>Minorista</t>
  </si>
  <si>
    <t>Supermercado referencia</t>
  </si>
  <si>
    <t>Última referencia pública disponible al 20/03/2026. Minorista ≈ Gs. 16.500–17.500/kg. Fuente: https://www.hoy.com.py/nacionales/2026/02/18/cuanto-cuesta-el-tomate-en-el-super-somos-tomadores-de-precios</t>
  </si>
  <si>
    <t>Producción</t>
  </si>
  <si>
    <t>Finca</t>
  </si>
  <si>
    <t>Productor referencia MAG</t>
  </si>
  <si>
    <t>Última referencia pública disponible al 20/03/2026. Finca ≈ Gs. 4.000/kg. Fuente: https://www.lanacion.com.py/negocios/2026/03/09/mag-no-ampliara-plazo-para-importar-tomate-hay-mucha-oferta-local/</t>
  </si>
  <si>
    <t>Regulatorio</t>
  </si>
  <si>
    <t>SENAVE</t>
  </si>
  <si>
    <t>Contexto regulatorio</t>
  </si>
  <si>
    <t>SENAVE no publica precio horario oficial; se agrega como contexto regulatorio. Referencias SENAVE: https://www.senave.gov.py/primera-exportacion-de-tomate-del-2025/ | https://www.senave.gov.py/nueva-exportacion-de-azucar-organica-a-taiwan/</t>
  </si>
  <si>
    <t>peso</t>
  </si>
  <si>
    <t>dependencia_importada</t>
  </si>
  <si>
    <t>sensibilidad_fx</t>
  </si>
  <si>
    <t>sensibilidad_combustible</t>
  </si>
  <si>
    <t>activo</t>
  </si>
  <si>
    <t>0.60</t>
  </si>
  <si>
    <t>0.30</t>
  </si>
  <si>
    <t>0.20</t>
  </si>
  <si>
    <t>SI</t>
  </si>
  <si>
    <t>0.75</t>
  </si>
  <si>
    <t>0.45</t>
  </si>
  <si>
    <t>0.35</t>
  </si>
  <si>
    <t>0.10</t>
  </si>
  <si>
    <t>0.40</t>
  </si>
  <si>
    <t>codigo_local</t>
  </si>
  <si>
    <t>ASU001</t>
  </si>
  <si>
    <t>Superseis Mariscal</t>
  </si>
  <si>
    <t>ASU002</t>
  </si>
  <si>
    <t>Puesto 12</t>
  </si>
  <si>
    <t>ASU003</t>
  </si>
  <si>
    <t>parametro</t>
  </si>
  <si>
    <t>valor</t>
  </si>
  <si>
    <t>salario_minimo_mensual</t>
  </si>
  <si>
    <t>tamano_hogar_referencia</t>
  </si>
  <si>
    <t>semana_actual</t>
  </si>
  <si>
    <t>Reporte ejecutivo tomate – 20/03/2026</t>
  </si>
  <si>
    <t>Concepto</t>
  </si>
  <si>
    <t>Valor</t>
  </si>
  <si>
    <t>Unidad</t>
  </si>
  <si>
    <t>Lectura</t>
  </si>
  <si>
    <t>Fuente / referencia</t>
  </si>
  <si>
    <t>Observación</t>
  </si>
  <si>
    <t>Precio mayorista de referencia</t>
  </si>
  <si>
    <t>Gs/kg</t>
  </si>
  <si>
    <t>Última referencia pública disponible al 20/03/2026: rango 5.000–6.000</t>
  </si>
  <si>
    <t>https://www.abc.com.py/negocios/abc-campo/2026/03/04/tras-la-caida-de-casi-50-del-precio-del-tomate-el-mag-confirma-cierre-de-la-importacion/ | https://www.ultimahora.com/importan-1-4-millones-de-kilos-de-tomate-y-bajan-los-precios</t>
  </si>
  <si>
    <t>Referencia operativa para canal mayorista.</t>
  </si>
  <si>
    <t>Precio retail de referencia</t>
  </si>
  <si>
    <t>Última referencia pública disponible al 20/03/2026: rango 16.500–17.500</t>
  </si>
  <si>
    <t>https://www.hoy.com.py/nacionales/2026/02/18/cuanto-cuesta-el-tomate-en-el-super-somos-tomadores-de-precios</t>
  </si>
  <si>
    <t>Referencia para consumidor final.</t>
  </si>
  <si>
    <t>Precio productor / finca</t>
  </si>
  <si>
    <t>Última referencia pública disponible al 20/03/2026</t>
  </si>
  <si>
    <t>https://www.lanacion.com.py/negocios/2026/03/09/mag-no-ampliara-plazo-para-importar-tomate-hay-mucha-oferta-local/</t>
  </si>
  <si>
    <t>Referencia de finca / producción.</t>
  </si>
  <si>
    <t>Brecha finca → minorista</t>
  </si>
  <si>
    <t>%</t>
  </si>
  <si>
    <t>Diferencia estimada entre finca y retail</t>
  </si>
  <si>
    <t>Calculada en hoja</t>
  </si>
  <si>
    <t>Usar formato porcentaje.</t>
  </si>
  <si>
    <t>Fecha de corte</t>
  </si>
  <si>
    <t>fecha</t>
  </si>
  <si>
    <t>Última referencia pública disponible al día de hoy</t>
  </si>
  <si>
    <t/>
  </si>
  <si>
    <t>Nota SENAVE</t>
  </si>
  <si>
    <t>SENAVE no publica precio horario oficial del tomate</t>
  </si>
  <si>
    <t>texto</t>
  </si>
  <si>
    <t>Se usa como contexto regulatorio, no como cotización diaria</t>
  </si>
  <si>
    <t>https://www.senave.gov.py/primera-exportacion-de-tomate-del-2025/ | https://www.senave.gov.py/nueva-exportacion-de-azucar-organica-a-taiwan/</t>
  </si>
  <si>
    <t>Aclaración metodológica</t>
  </si>
  <si>
    <t>Valores cargados como última referencia pública disponible al 20/03/2026; no implican cotización horaria oficial del día.</t>
  </si>
  <si>
    <t>Fecha | Usuario | Módulo | Cambio | Detalle | Fuente | Validado</t>
  </si>
  <si>
    <t>20/03/2026 | Jorge Vergara | Tomate | Actualización | Ajuste precios mayorista, minorista y finca | Mercado Abasto / Prensa | Sí</t>
  </si>
  <si>
    <t>20/03/2026 | Jorge Vergara | Canasta_25 | Carga semanal | Actualización general de precios | Relevamiento propio | Sí</t>
  </si>
  <si>
    <t>20/03/2026 | Jorge Vergara | Sistema | Ajuste técnico | Corrección columnas para workflow GitHub | Interno | 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</si>
</sst>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dd/mm/yyyy"/>
    <numFmt numFmtId="167" formatCode="0.0%"/>
  </numFmts>
  <fonts count="9" x14ac:knownFonts="1">
    <font>
      <sz val="10"/>
      <color rgb="FF000000"/>
      <name val="Calibri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b/>
      <sz val="12"/>
      <color rgb="FFFFFFFF"/>
      <name val="Calibri"/>
    </font>
    <font>
      <b/>
      <sz val="10"/>
      <color rgb="FFFFFFFF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13A69"/>
      </patternFill>
    </fill>
    <fill>
      <patternFill patternType="solid">
        <fgColor rgb="FF132441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65" fontId="2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167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0" fontId="6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251460</xdr:colOff>
      <xdr:row>43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52B5CDE3-5056-5EF8-7DFF-4F8D6C88B40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workbookViewId="0"/>
  </sheetViews>
  <sheetFormatPr baseColWidth="10" defaultColWidth="8.88671875" defaultRowHeight="13.8" x14ac:dyDescent="0.3"/>
  <cols>
    <col min="1" max="1" width="15" customWidth="1"/>
    <col min="2" max="5" width="12" customWidth="1"/>
  </cols>
  <sheetData>
    <row r="1" spans="1:5" x14ac:dyDescent="0.3">
      <c r="A1" s="4" t="s">
        <v>0</v>
      </c>
    </row>
    <row r="2" spans="1:5" x14ac:dyDescent="0.3">
      <c r="A2" s="5" t="s">
        <v>1</v>
      </c>
    </row>
    <row r="4" spans="1:5" x14ac:dyDescent="0.3">
      <c r="A4" t="s">
        <v>2</v>
      </c>
    </row>
    <row r="6" spans="1:5" x14ac:dyDescent="0.3">
      <c r="A6" s="6" t="s">
        <v>3</v>
      </c>
      <c r="B6" s="7" t="s">
        <v>4</v>
      </c>
      <c r="C6" s="7" t="s">
        <v>5</v>
      </c>
      <c r="D6" s="7" t="s">
        <v>6</v>
      </c>
      <c r="E6" s="7" t="s">
        <v>7</v>
      </c>
    </row>
    <row r="8" spans="1:5" x14ac:dyDescent="0.3">
      <c r="A8" s="8">
        <v>46088</v>
      </c>
      <c r="B8">
        <v>8500</v>
      </c>
      <c r="C8">
        <v>14800</v>
      </c>
      <c r="E8">
        <v>12000</v>
      </c>
    </row>
    <row r="9" spans="1:5" x14ac:dyDescent="0.3">
      <c r="A9" s="9">
        <v>46101</v>
      </c>
      <c r="B9">
        <v>8500</v>
      </c>
      <c r="C9">
        <v>14800</v>
      </c>
      <c r="E9">
        <v>17000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workbookViewId="0"/>
  </sheetViews>
  <sheetFormatPr baseColWidth="10" defaultColWidth="12.6640625" defaultRowHeight="13.8" x14ac:dyDescent="0.3"/>
  <cols>
    <col min="1" max="1" width="14.77734375" customWidth="1"/>
    <col min="2" max="2" width="14.33203125" customWidth="1"/>
    <col min="3" max="3" width="15.109375" customWidth="1"/>
  </cols>
  <sheetData>
    <row r="1" spans="1:10" x14ac:dyDescent="0.3">
      <c r="A1" s="1" t="s">
        <v>3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</row>
    <row r="2" spans="1:10" x14ac:dyDescent="0.3">
      <c r="A2" s="2">
        <v>46088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4</v>
      </c>
      <c r="G2" s="3" t="s">
        <v>21</v>
      </c>
      <c r="H2" s="3">
        <v>8500</v>
      </c>
      <c r="I2" s="3"/>
      <c r="J2" s="3" t="s">
        <v>22</v>
      </c>
    </row>
    <row r="3" spans="1:10" x14ac:dyDescent="0.3">
      <c r="A3" s="2">
        <v>46088</v>
      </c>
      <c r="B3" s="3" t="s">
        <v>17</v>
      </c>
      <c r="C3" s="3" t="s">
        <v>18</v>
      </c>
      <c r="D3" s="3" t="s">
        <v>19</v>
      </c>
      <c r="E3" s="3" t="s">
        <v>20</v>
      </c>
      <c r="F3" s="3" t="s">
        <v>5</v>
      </c>
      <c r="G3" s="3" t="s">
        <v>23</v>
      </c>
      <c r="H3" s="3">
        <v>14800</v>
      </c>
      <c r="J3" s="3" t="s">
        <v>22</v>
      </c>
    </row>
    <row r="4" spans="1:10" x14ac:dyDescent="0.3">
      <c r="A4" s="2">
        <v>46088</v>
      </c>
      <c r="B4" s="3" t="s">
        <v>17</v>
      </c>
      <c r="C4" s="3" t="s">
        <v>18</v>
      </c>
      <c r="D4" s="3" t="s">
        <v>24</v>
      </c>
      <c r="E4" s="3" t="s">
        <v>25</v>
      </c>
      <c r="F4" s="3" t="s">
        <v>7</v>
      </c>
      <c r="G4" s="3" t="s">
        <v>21</v>
      </c>
      <c r="H4" s="3">
        <v>12000</v>
      </c>
      <c r="J4" s="3" t="s">
        <v>22</v>
      </c>
    </row>
    <row r="5" spans="1:10" x14ac:dyDescent="0.3">
      <c r="A5" s="10">
        <v>46101</v>
      </c>
      <c r="B5" s="3" t="s">
        <v>17</v>
      </c>
      <c r="C5" s="3" t="s">
        <v>26</v>
      </c>
      <c r="D5" s="3" t="s">
        <v>27</v>
      </c>
      <c r="E5" s="3" t="s">
        <v>28</v>
      </c>
      <c r="F5" s="3" t="s">
        <v>7</v>
      </c>
      <c r="G5" s="3" t="s">
        <v>21</v>
      </c>
      <c r="H5" s="3">
        <v>5500</v>
      </c>
      <c r="I5" s="3" t="s">
        <v>29</v>
      </c>
      <c r="J5" s="3" t="s">
        <v>30</v>
      </c>
    </row>
    <row r="6" spans="1:10" x14ac:dyDescent="0.3">
      <c r="A6" s="10">
        <v>46101</v>
      </c>
      <c r="B6" s="3" t="s">
        <v>17</v>
      </c>
      <c r="C6" s="3" t="s">
        <v>31</v>
      </c>
      <c r="D6" s="3" t="s">
        <v>32</v>
      </c>
      <c r="E6" s="3" t="s">
        <v>33</v>
      </c>
      <c r="F6" s="3" t="s">
        <v>7</v>
      </c>
      <c r="G6" s="3" t="s">
        <v>21</v>
      </c>
      <c r="H6" s="3">
        <v>17000</v>
      </c>
      <c r="I6" s="3" t="s">
        <v>34</v>
      </c>
      <c r="J6" s="3" t="s">
        <v>30</v>
      </c>
    </row>
    <row r="7" spans="1:10" x14ac:dyDescent="0.3">
      <c r="A7" s="10">
        <v>46101</v>
      </c>
      <c r="B7" s="3" t="s">
        <v>17</v>
      </c>
      <c r="C7" s="3" t="s">
        <v>35</v>
      </c>
      <c r="D7" s="3" t="s">
        <v>36</v>
      </c>
      <c r="E7" s="3" t="s">
        <v>37</v>
      </c>
      <c r="F7" s="3" t="s">
        <v>7</v>
      </c>
      <c r="G7" s="3" t="s">
        <v>21</v>
      </c>
      <c r="H7" s="3">
        <v>4000</v>
      </c>
      <c r="I7" s="3" t="s">
        <v>38</v>
      </c>
      <c r="J7" s="3" t="s">
        <v>30</v>
      </c>
    </row>
    <row r="8" spans="1:10" x14ac:dyDescent="0.3">
      <c r="A8" s="10">
        <v>46101</v>
      </c>
      <c r="B8" s="3" t="s">
        <v>17</v>
      </c>
      <c r="C8" s="3" t="s">
        <v>39</v>
      </c>
      <c r="D8" s="3" t="s">
        <v>40</v>
      </c>
      <c r="E8" s="3" t="s">
        <v>41</v>
      </c>
      <c r="F8" s="3" t="s">
        <v>7</v>
      </c>
      <c r="G8" s="3" t="s">
        <v>21</v>
      </c>
      <c r="H8" s="3">
        <v>5500</v>
      </c>
      <c r="I8" s="3" t="s">
        <v>42</v>
      </c>
      <c r="J8" s="3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baseColWidth="10" defaultColWidth="12.6640625" defaultRowHeight="13.8" x14ac:dyDescent="0.3"/>
  <cols>
    <col min="4" max="4" width="18.77734375" customWidth="1"/>
    <col min="5" max="5" width="17" customWidth="1"/>
    <col min="6" max="6" width="21.109375" customWidth="1"/>
  </cols>
  <sheetData>
    <row r="1" spans="1:7" x14ac:dyDescent="0.3">
      <c r="A1" s="1" t="s">
        <v>12</v>
      </c>
      <c r="B1" s="1" t="s">
        <v>13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</row>
    <row r="2" spans="1:7" x14ac:dyDescent="0.3">
      <c r="A2" s="3" t="s">
        <v>4</v>
      </c>
      <c r="B2" s="3" t="s">
        <v>21</v>
      </c>
      <c r="C2" s="3">
        <v>5</v>
      </c>
      <c r="D2" s="3" t="s">
        <v>48</v>
      </c>
      <c r="E2" s="3" t="s">
        <v>49</v>
      </c>
      <c r="F2" s="3" t="s">
        <v>50</v>
      </c>
      <c r="G2" s="3" t="s">
        <v>51</v>
      </c>
    </row>
    <row r="3" spans="1:7" x14ac:dyDescent="0.3">
      <c r="A3" s="3" t="s">
        <v>5</v>
      </c>
      <c r="B3" s="3" t="s">
        <v>23</v>
      </c>
      <c r="C3" s="3">
        <v>4</v>
      </c>
      <c r="D3" s="3" t="s">
        <v>52</v>
      </c>
      <c r="E3" s="3" t="s">
        <v>53</v>
      </c>
      <c r="F3" s="3" t="s">
        <v>49</v>
      </c>
      <c r="G3" s="3" t="s">
        <v>51</v>
      </c>
    </row>
    <row r="4" spans="1:7" x14ac:dyDescent="0.3">
      <c r="A4" s="3" t="s">
        <v>6</v>
      </c>
      <c r="B4" s="3" t="s">
        <v>21</v>
      </c>
      <c r="C4" s="3">
        <v>3</v>
      </c>
      <c r="D4" s="3" t="s">
        <v>54</v>
      </c>
      <c r="E4" s="3" t="s">
        <v>50</v>
      </c>
      <c r="F4" s="3" t="s">
        <v>50</v>
      </c>
      <c r="G4" s="3" t="s">
        <v>51</v>
      </c>
    </row>
    <row r="5" spans="1:7" x14ac:dyDescent="0.3">
      <c r="A5" s="3" t="s">
        <v>7</v>
      </c>
      <c r="B5" s="3" t="s">
        <v>21</v>
      </c>
      <c r="C5" s="3">
        <v>5</v>
      </c>
      <c r="D5" s="3" t="s">
        <v>55</v>
      </c>
      <c r="E5" s="3" t="s">
        <v>54</v>
      </c>
      <c r="F5" s="3" t="s">
        <v>56</v>
      </c>
      <c r="G5" s="3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workbookViewId="0"/>
  </sheetViews>
  <sheetFormatPr baseColWidth="10" defaultColWidth="12.6640625" defaultRowHeight="13.8" x14ac:dyDescent="0.3"/>
  <cols>
    <col min="1" max="1" width="14.88671875" customWidth="1"/>
    <col min="2" max="2" width="15.21875" customWidth="1"/>
    <col min="3" max="3" width="22.44140625" customWidth="1"/>
    <col min="4" max="4" width="17.21875" customWidth="1"/>
    <col min="5" max="5" width="16.6640625" customWidth="1"/>
  </cols>
  <sheetData>
    <row r="1" spans="1:6" x14ac:dyDescent="0.3">
      <c r="A1" s="1" t="s">
        <v>8</v>
      </c>
      <c r="B1" s="1" t="s">
        <v>9</v>
      </c>
      <c r="C1" s="1" t="s">
        <v>10</v>
      </c>
      <c r="D1" s="1" t="s">
        <v>11</v>
      </c>
      <c r="E1" s="1" t="s">
        <v>57</v>
      </c>
      <c r="F1" s="1" t="s">
        <v>47</v>
      </c>
    </row>
    <row r="2" spans="1:6" x14ac:dyDescent="0.3">
      <c r="A2" s="3" t="s">
        <v>17</v>
      </c>
      <c r="B2" s="3" t="s">
        <v>18</v>
      </c>
      <c r="C2" s="3" t="s">
        <v>19</v>
      </c>
      <c r="D2" s="3" t="s">
        <v>20</v>
      </c>
      <c r="E2" s="3" t="s">
        <v>58</v>
      </c>
      <c r="F2" s="3" t="s">
        <v>51</v>
      </c>
    </row>
    <row r="3" spans="1:6" x14ac:dyDescent="0.3">
      <c r="A3" s="3" t="s">
        <v>17</v>
      </c>
      <c r="B3" s="3" t="s">
        <v>18</v>
      </c>
      <c r="C3" s="3" t="s">
        <v>19</v>
      </c>
      <c r="D3" s="3" t="s">
        <v>59</v>
      </c>
      <c r="E3" s="3" t="s">
        <v>60</v>
      </c>
      <c r="F3" s="3" t="s">
        <v>51</v>
      </c>
    </row>
    <row r="4" spans="1:6" x14ac:dyDescent="0.3">
      <c r="A4" s="3" t="s">
        <v>17</v>
      </c>
      <c r="B4" s="3" t="s">
        <v>25</v>
      </c>
      <c r="C4" s="3" t="s">
        <v>24</v>
      </c>
      <c r="D4" s="3" t="s">
        <v>61</v>
      </c>
      <c r="E4" s="3" t="s">
        <v>62</v>
      </c>
      <c r="F4" s="3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baseColWidth="10" defaultColWidth="12.6640625" defaultRowHeight="13.8" x14ac:dyDescent="0.3"/>
  <cols>
    <col min="1" max="1" width="27.33203125" customWidth="1"/>
    <col min="2" max="2" width="15.33203125" customWidth="1"/>
  </cols>
  <sheetData>
    <row r="1" spans="1:2" x14ac:dyDescent="0.3">
      <c r="A1" s="1" t="s">
        <v>63</v>
      </c>
      <c r="B1" s="1" t="s">
        <v>64</v>
      </c>
    </row>
    <row r="2" spans="1:2" x14ac:dyDescent="0.3">
      <c r="A2" s="3" t="s">
        <v>65</v>
      </c>
      <c r="B2" s="3">
        <v>2798510</v>
      </c>
    </row>
    <row r="3" spans="1:2" x14ac:dyDescent="0.3">
      <c r="A3" s="3" t="s">
        <v>66</v>
      </c>
      <c r="B3" s="3">
        <v>4</v>
      </c>
    </row>
    <row r="4" spans="1:2" x14ac:dyDescent="0.3">
      <c r="A4" s="3" t="s">
        <v>67</v>
      </c>
      <c r="B4" s="10">
        <v>46101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>
      <selection sqref="A1:F1"/>
    </sheetView>
  </sheetViews>
  <sheetFormatPr baseColWidth="10" defaultColWidth="8.88671875" defaultRowHeight="13.8" x14ac:dyDescent="0.3"/>
  <cols>
    <col min="1" max="1" width="28" customWidth="1"/>
    <col min="2" max="2" width="16" customWidth="1"/>
    <col min="3" max="3" width="12" customWidth="1"/>
    <col min="4" max="4" width="42" customWidth="1"/>
    <col min="5" max="5" width="65" customWidth="1"/>
    <col min="6" max="6" width="34" customWidth="1"/>
  </cols>
  <sheetData>
    <row r="1" spans="1:6" ht="19.2" customHeight="1" x14ac:dyDescent="0.3">
      <c r="A1" s="16" t="s">
        <v>68</v>
      </c>
      <c r="B1" s="17"/>
      <c r="C1" s="17"/>
      <c r="D1" s="17"/>
      <c r="E1" s="17"/>
      <c r="F1" s="17"/>
    </row>
    <row r="2" spans="1:6" ht="22.35" customHeight="1" x14ac:dyDescent="0.3">
      <c r="A2" s="11" t="s">
        <v>69</v>
      </c>
      <c r="B2" s="11" t="s">
        <v>70</v>
      </c>
      <c r="C2" s="11" t="s">
        <v>71</v>
      </c>
      <c r="D2" s="11" t="s">
        <v>72</v>
      </c>
      <c r="E2" s="11" t="s">
        <v>73</v>
      </c>
      <c r="F2" s="11" t="s">
        <v>74</v>
      </c>
    </row>
    <row r="3" spans="1:6" ht="22.35" customHeight="1" x14ac:dyDescent="0.3">
      <c r="A3" s="12" t="s">
        <v>75</v>
      </c>
      <c r="B3" s="13">
        <v>5500</v>
      </c>
      <c r="C3" s="13" t="s">
        <v>76</v>
      </c>
      <c r="D3" s="13" t="s">
        <v>77</v>
      </c>
      <c r="E3" s="13" t="s">
        <v>78</v>
      </c>
      <c r="F3" s="13" t="s">
        <v>79</v>
      </c>
    </row>
    <row r="4" spans="1:6" ht="22.35" customHeight="1" x14ac:dyDescent="0.3">
      <c r="A4" s="12" t="s">
        <v>80</v>
      </c>
      <c r="B4" s="13">
        <v>17000</v>
      </c>
      <c r="C4" s="13" t="s">
        <v>76</v>
      </c>
      <c r="D4" s="13" t="s">
        <v>81</v>
      </c>
      <c r="E4" s="13" t="s">
        <v>82</v>
      </c>
      <c r="F4" s="13" t="s">
        <v>83</v>
      </c>
    </row>
    <row r="5" spans="1:6" ht="22.35" customHeight="1" x14ac:dyDescent="0.3">
      <c r="A5" s="12" t="s">
        <v>84</v>
      </c>
      <c r="B5" s="13">
        <v>4000</v>
      </c>
      <c r="C5" s="13" t="s">
        <v>76</v>
      </c>
      <c r="D5" s="13" t="s">
        <v>85</v>
      </c>
      <c r="E5" s="13" t="s">
        <v>86</v>
      </c>
      <c r="F5" s="13" t="s">
        <v>87</v>
      </c>
    </row>
    <row r="6" spans="1:6" ht="22.35" customHeight="1" x14ac:dyDescent="0.3">
      <c r="A6" s="12" t="s">
        <v>88</v>
      </c>
      <c r="B6" s="14">
        <f>B4/B5-1</f>
        <v>3.25</v>
      </c>
      <c r="C6" s="13" t="s">
        <v>89</v>
      </c>
      <c r="D6" s="13" t="s">
        <v>90</v>
      </c>
      <c r="E6" s="13" t="s">
        <v>91</v>
      </c>
      <c r="F6" s="13" t="s">
        <v>92</v>
      </c>
    </row>
    <row r="7" spans="1:6" ht="22.35" customHeight="1" x14ac:dyDescent="0.3">
      <c r="A7" s="12" t="s">
        <v>93</v>
      </c>
      <c r="B7" s="15">
        <v>46101</v>
      </c>
      <c r="C7" s="13" t="s">
        <v>94</v>
      </c>
      <c r="D7" s="13" t="s">
        <v>95</v>
      </c>
      <c r="E7" s="13" t="s">
        <v>96</v>
      </c>
      <c r="F7" s="13" t="s">
        <v>96</v>
      </c>
    </row>
    <row r="8" spans="1:6" ht="22.35" customHeight="1" x14ac:dyDescent="0.3">
      <c r="A8" s="12" t="s">
        <v>97</v>
      </c>
      <c r="B8" s="13" t="s">
        <v>98</v>
      </c>
      <c r="C8" s="13" t="s">
        <v>99</v>
      </c>
      <c r="D8" s="13" t="s">
        <v>100</v>
      </c>
      <c r="E8" s="13" t="s">
        <v>101</v>
      </c>
      <c r="F8" s="13" t="s">
        <v>96</v>
      </c>
    </row>
    <row r="9" spans="1:6" ht="22.35" customHeight="1" x14ac:dyDescent="0.3">
      <c r="A9" s="12" t="s">
        <v>102</v>
      </c>
      <c r="B9" s="13" t="s">
        <v>103</v>
      </c>
      <c r="C9" s="13" t="s">
        <v>96</v>
      </c>
      <c r="D9" s="13" t="s">
        <v>96</v>
      </c>
      <c r="E9" s="13" t="s">
        <v>96</v>
      </c>
      <c r="F9" s="13" t="s">
        <v>96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A555A-852D-43F5-A4EE-3C610B435B1D}">
  <dimension ref="A1:A4"/>
  <sheetViews>
    <sheetView tabSelected="1" workbookViewId="0">
      <selection activeCell="G9" sqref="G9"/>
    </sheetView>
  </sheetViews>
  <sheetFormatPr baseColWidth="10" defaultRowHeight="13.8" x14ac:dyDescent="0.3"/>
  <sheetData>
    <row r="1" spans="1:1" x14ac:dyDescent="0.3">
      <c r="A1" t="s">
        <v>104</v>
      </c>
    </row>
    <row r="2" spans="1:1" x14ac:dyDescent="0.3">
      <c r="A2" t="s">
        <v>105</v>
      </c>
    </row>
    <row r="3" spans="1:1" x14ac:dyDescent="0.3">
      <c r="A3" t="s">
        <v>106</v>
      </c>
    </row>
    <row r="4" spans="1:1" x14ac:dyDescent="0.3">
      <c r="A4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Canasta_25</vt:lpstr>
      <vt:lpstr>Carga_Semanal</vt:lpstr>
      <vt:lpstr>Catalogo_Productos</vt:lpstr>
      <vt:lpstr>Catalogo_Locales</vt:lpstr>
      <vt:lpstr>Parametros</vt:lpstr>
      <vt:lpstr>Tomate_20-03-2026</vt:lpstr>
      <vt:lpstr>Control_Cambios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Vergara</dc:creator>
  <cp:lastModifiedBy>Jorge Vergara</cp:lastModifiedBy>
  <dcterms:created xsi:type="dcterms:W3CDTF">2026-03-20T10:35:57Z</dcterms:created>
  <dcterms:modified xsi:type="dcterms:W3CDTF">2026-03-20T10:35:57Z</dcterms:modified>
</cp:coreProperties>
</file>