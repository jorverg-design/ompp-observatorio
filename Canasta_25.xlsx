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44df191d2c8dddd/Escritorio/JV/VMC/"/>
    </mc:Choice>
  </mc:AlternateContent>
  <xr:revisionPtr revIDLastSave="0" documentId="8_{09C3DE49-4085-4964-A782-9A75EF8EEA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nasta_25" sheetId="1" r:id="rId1"/>
    <sheet name="Carga_Semanal" sheetId="2" r:id="rId2"/>
    <sheet name="Catalogo_Productos" sheetId="3" r:id="rId3"/>
    <sheet name="Catalogo_Locales" sheetId="4" r:id="rId4"/>
    <sheet name="Parametros" sheetId="5" r:id="rId5"/>
    <sheet name="Tomate_19-03-2026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3" authorId="0" shapeId="0" xr:uid="{00000000-0006-0000-0500-000001000000}">
      <text>
        <r>
          <rPr>
            <sz val="10"/>
            <color rgb="FF000000"/>
            <rFont val="Calibri"/>
            <scheme val="minor"/>
          </rPr>
          <t>https://www.abc.com.py/negocios/abc-campo/2026/03/04/tras-la-caida-de-casi-50-del-precio-del-tomate-el-mag-confirma-cierre-de-la-importacion/ ; https://www.ultimahora.com/importan-1-4-millones-de-kilos-de-tomate-y-bajan-los-precios</t>
        </r>
      </text>
    </comment>
    <comment ref="B4" authorId="0" shapeId="0" xr:uid="{00000000-0006-0000-0500-000002000000}">
      <text>
        <r>
          <rPr>
            <sz val="10"/>
            <color rgb="FF000000"/>
            <rFont val="Calibri"/>
            <scheme val="minor"/>
          </rPr>
          <t>https://www.hoy.com.py/nacionales/2026/02/18/cuanto-cuesta-el-tomate-en-el-super-somos-tomadores-de-precios</t>
        </r>
      </text>
    </comment>
    <comment ref="B5" authorId="0" shapeId="0" xr:uid="{00000000-0006-0000-0500-000003000000}">
      <text>
        <r>
          <rPr>
            <sz val="10"/>
            <color rgb="FF000000"/>
            <rFont val="Calibri"/>
            <scheme val="minor"/>
          </rPr>
          <t>https://www.lanacion.com.py/negocios/2026/03/09/mag-no-ampliara-plazo-para-importar-tomate-hay-mucha-oferta-local/</t>
        </r>
      </text>
    </comment>
    <comment ref="B7" authorId="0" shapeId="0" xr:uid="{00000000-0006-0000-0500-000004000000}">
      <text>
        <r>
          <rPr>
            <sz val="10"/>
            <color rgb="FF000000"/>
            <rFont val="Calibri"/>
            <scheme val="minor"/>
          </rPr>
          <t>https://www.senave.gov.py/ ; https://www.lanacion.com.py/negocios/2026/02/14/senave-alerta-sobre-virus-del-tomate-y-refuerza-controles-para-proteger-la-produccion-nacional/</t>
        </r>
      </text>
    </comment>
  </commentList>
</comments>
</file>

<file path=xl/sharedStrings.xml><?xml version="1.0" encoding="utf-8"?>
<sst xmlns="http://schemas.openxmlformats.org/spreadsheetml/2006/main" count="187" uniqueCount="113">
  <si>
    <t>Plantilla corregida para importación OMPP</t>
  </si>
  <si>
    <t>La fila 6 contiene productos y desde la fila 8 están los datos semanales.</t>
  </si>
  <si>
    <t>Fecha</t>
  </si>
  <si>
    <t>fecha_semana</t>
  </si>
  <si>
    <t>Arroz</t>
  </si>
  <si>
    <t>Aceite</t>
  </si>
  <si>
    <t>Azúcar</t>
  </si>
  <si>
    <t>Tomate</t>
  </si>
  <si>
    <t>ciudad</t>
  </si>
  <si>
    <t>zona</t>
  </si>
  <si>
    <t>canal</t>
  </si>
  <si>
    <t>local</t>
  </si>
  <si>
    <t>producto</t>
  </si>
  <si>
    <t>unidad</t>
  </si>
  <si>
    <t>precio</t>
  </si>
  <si>
    <t>observacion</t>
  </si>
  <si>
    <t>cargado_por</t>
  </si>
  <si>
    <t>Asunción</t>
  </si>
  <si>
    <t>Centro</t>
  </si>
  <si>
    <t>Supermercado</t>
  </si>
  <si>
    <t>Stock España</t>
  </si>
  <si>
    <t>kg</t>
  </si>
  <si>
    <t>Jorge</t>
  </si>
  <si>
    <t>lt</t>
  </si>
  <si>
    <t>Mercado</t>
  </si>
  <si>
    <t>Mercado 4</t>
  </si>
  <si>
    <t>Abasto</t>
  </si>
  <si>
    <t>Mayorista</t>
  </si>
  <si>
    <t>Mercado de Abasto</t>
  </si>
  <si>
    <t>Referencia mayorista al 19/03/2026; rango observado aprox. Gs. 5.000–6.000/kg tras importación y normalización de oferta.</t>
  </si>
  <si>
    <t>OpenAI</t>
  </si>
  <si>
    <t>Supermercado referencia</t>
  </si>
  <si>
    <t>Referencia retail al 19/03/2026; rango observado aprox. Gs. 16.500–17.500/kg.</t>
  </si>
  <si>
    <t>Feria</t>
  </si>
  <si>
    <t>Feria MAG / productor</t>
  </si>
  <si>
    <t>Referencia feria/productor; valor de comparación no oficial por hora.</t>
  </si>
  <si>
    <t>peso</t>
  </si>
  <si>
    <t>dependencia_importada</t>
  </si>
  <si>
    <t>sensibilidad_fx</t>
  </si>
  <si>
    <t>sensibilidad_combustible</t>
  </si>
  <si>
    <t>activo</t>
  </si>
  <si>
    <t>0.60</t>
  </si>
  <si>
    <t>0.30</t>
  </si>
  <si>
    <t>0.20</t>
  </si>
  <si>
    <t>SI</t>
  </si>
  <si>
    <t>0.75</t>
  </si>
  <si>
    <t>0.45</t>
  </si>
  <si>
    <t>0.35</t>
  </si>
  <si>
    <t>0.10</t>
  </si>
  <si>
    <t>0.40</t>
  </si>
  <si>
    <t>codigo_local</t>
  </si>
  <si>
    <t>ASU001</t>
  </si>
  <si>
    <t>Superseis Mariscal</t>
  </si>
  <si>
    <t>ASU002</t>
  </si>
  <si>
    <t>Puesto 12</t>
  </si>
  <si>
    <t>ASU003</t>
  </si>
  <si>
    <t>parametro</t>
  </si>
  <si>
    <t>valor</t>
  </si>
  <si>
    <t>salario_minimo_mensual</t>
  </si>
  <si>
    <t>tamano_hogar_referencia</t>
  </si>
  <si>
    <t>semana_actual</t>
  </si>
  <si>
    <t>Reporte ejecutivo tomate – 19/03/2026</t>
  </si>
  <si>
    <t>Concepto</t>
  </si>
  <si>
    <t>Valor</t>
  </si>
  <si>
    <t>Unidad</t>
  </si>
  <si>
    <t>Lectura</t>
  </si>
  <si>
    <t>Fuente / referencia</t>
  </si>
  <si>
    <t>Observación</t>
  </si>
  <si>
    <t>Precio mayorista de referencia</t>
  </si>
  <si>
    <t>Gs/kg</t>
  </si>
  <si>
    <t>Rango observado 5.000–6.000</t>
  </si>
  <si>
    <t>ABC / Última Hora / MAG</t>
  </si>
  <si>
    <t>Usado como referencia operativa para canal mayorista.</t>
  </si>
  <si>
    <t>Precio retail de referencia</t>
  </si>
  <si>
    <t>Rango observado 16.500–17.500</t>
  </si>
  <si>
    <t>Hoy / supermercados</t>
  </si>
  <si>
    <t>Usado como referencia para consumidor final.</t>
  </si>
  <si>
    <t>Precio productor / finca</t>
  </si>
  <si>
    <t>Oferta local reportada por MAG</t>
  </si>
  <si>
    <t>La Nación</t>
  </si>
  <si>
    <t>No es precio retail; sirve para brecha de cadena.</t>
  </si>
  <si>
    <t>Brecha retail vs finca</t>
  </si>
  <si>
    <t>%</t>
  </si>
  <si>
    <t>Se calcula automáticamente</t>
  </si>
  <si>
    <t>Cálculo propio</t>
  </si>
  <si>
    <t>Mide dispersión aproximada de cadena.</t>
  </si>
  <si>
    <t>Monitoreo oficial por hora</t>
  </si>
  <si>
    <t>No disponible</t>
  </si>
  <si>
    <t>SENAVE no publica precio por hora</t>
  </si>
  <si>
    <t>Revisión de fuentes públicas</t>
  </si>
  <si>
    <t>Se requiere carga intradiaria propia para seguimiento horario.</t>
  </si>
  <si>
    <t>Cruce SENAVE / institucional</t>
  </si>
  <si>
    <t>Control sanitario e importación</t>
  </si>
  <si>
    <t>SENAVE aporta contexto regulatorio, no precio horario</t>
  </si>
  <si>
    <t>SENAVE / prensa</t>
  </si>
  <si>
    <t>Se usa como capa institucional, no como precio horario.</t>
  </si>
  <si>
    <t>Plantilla de monitoreo intradiario (carga manual)</t>
  </si>
  <si>
    <t>Hora</t>
  </si>
  <si>
    <t>Canal</t>
  </si>
  <si>
    <t>Local</t>
  </si>
  <si>
    <t>Precio tomate (Gs/kg)</t>
  </si>
  <si>
    <t>Fuente</t>
  </si>
  <si>
    <t>Comentario</t>
  </si>
  <si>
    <t>08:00</t>
  </si>
  <si>
    <t>Mercado / Retail</t>
  </si>
  <si>
    <t>Carga propia</t>
  </si>
  <si>
    <t>10:00</t>
  </si>
  <si>
    <t>12:00</t>
  </si>
  <si>
    <t>14:00</t>
  </si>
  <si>
    <t>16:00</t>
  </si>
  <si>
    <t>18:00</t>
  </si>
  <si>
    <t>Nota metodológica</t>
  </si>
  <si>
    <t>Este reporte cruza precios de mercado reportados en prensa y referencias institucionales. SENAVE aporta contexto de control fitosanitario e importación, pero no publica series horarias de precio del tomate. Para monitoreo por hora se requiere carga propia de campo.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</si>
</sst>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dd/mm/yyyy"/>
    <numFmt numFmtId="167" formatCode="0.0%"/>
  </numFmts>
  <fonts count="9" x14ac:knownFonts="1">
    <font>
      <sz val="10"/>
      <color rgb="FF000000"/>
      <name val="Calibri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b/>
      <sz val="14"/>
      <color rgb="FFFFFFFF"/>
      <name val="Calibri"/>
    </font>
    <font>
      <b/>
      <sz val="10"/>
      <color rgb="FFFFFFFF"/>
      <name val="Calibri"/>
    </font>
    <font>
      <b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13A69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1" xfId="0" applyFont="1" applyFill="1" applyBorder="1" applyAlignment="1">
      <alignment horizontal="center"/>
    </xf>
    <xf numFmtId="166" fontId="0" fillId="0" borderId="0" xfId="0" applyNumberFormat="1"/>
    <xf numFmtId="166" fontId="2" fillId="0" borderId="0" xfId="0" applyNumberFormat="1" applyFont="1"/>
    <xf numFmtId="0" fontId="0" fillId="0" borderId="0" xfId="0" applyAlignment="1">
      <alignment vertical="top" wrapText="1"/>
    </xf>
    <xf numFmtId="0" fontId="7" fillId="3" borderId="0" xfId="0" applyFont="1" applyFill="1" applyAlignment="1">
      <alignment vertical="top" wrapText="1"/>
    </xf>
    <xf numFmtId="167" fontId="0" fillId="0" borderId="0" xfId="0" applyNumberFormat="1" applyAlignment="1">
      <alignment vertical="top" wrapText="1"/>
    </xf>
    <xf numFmtId="0" fontId="8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6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2270760</xdr:colOff>
      <xdr:row>36</xdr:row>
      <xdr:rowOff>53340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3A6E1285-78C7-C999-FBFE-DD9A7C0061D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workbookViewId="0"/>
  </sheetViews>
  <sheetFormatPr baseColWidth="10" defaultColWidth="8.88671875" defaultRowHeight="13.8" x14ac:dyDescent="0.3"/>
  <cols>
    <col min="1" max="1" width="15" customWidth="1"/>
    <col min="2" max="5" width="12" customWidth="1"/>
  </cols>
  <sheetData>
    <row r="1" spans="1:5" x14ac:dyDescent="0.3">
      <c r="A1" s="3" t="s">
        <v>0</v>
      </c>
    </row>
    <row r="2" spans="1:5" x14ac:dyDescent="0.3">
      <c r="A2" s="4" t="s">
        <v>1</v>
      </c>
    </row>
    <row r="4" spans="1:5" x14ac:dyDescent="0.3">
      <c r="A4" t="s">
        <v>2</v>
      </c>
    </row>
    <row r="6" spans="1:5" x14ac:dyDescent="0.3">
      <c r="A6" s="5" t="s">
        <v>3</v>
      </c>
      <c r="B6" s="6" t="s">
        <v>4</v>
      </c>
      <c r="C6" s="6" t="s">
        <v>5</v>
      </c>
      <c r="D6" s="6" t="s">
        <v>6</v>
      </c>
      <c r="E6" s="6" t="s">
        <v>7</v>
      </c>
    </row>
    <row r="8" spans="1:5" x14ac:dyDescent="0.3">
      <c r="A8" s="7">
        <v>46088</v>
      </c>
      <c r="B8">
        <v>8500</v>
      </c>
      <c r="C8">
        <v>14800</v>
      </c>
      <c r="E8">
        <v>12000</v>
      </c>
    </row>
    <row r="9" spans="1:5" x14ac:dyDescent="0.3">
      <c r="A9" s="7">
        <v>46100</v>
      </c>
      <c r="B9">
        <v>8900</v>
      </c>
      <c r="C9">
        <v>15480</v>
      </c>
      <c r="D9">
        <v>6500</v>
      </c>
      <c r="E9">
        <v>17000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"/>
  <sheetViews>
    <sheetView workbookViewId="0"/>
  </sheetViews>
  <sheetFormatPr baseColWidth="10" defaultColWidth="12.6640625" defaultRowHeight="13.8" x14ac:dyDescent="0.3"/>
  <cols>
    <col min="1" max="1" width="14.77734375" customWidth="1"/>
    <col min="2" max="2" width="14.33203125" customWidth="1"/>
    <col min="3" max="3" width="15.109375" customWidth="1"/>
  </cols>
  <sheetData>
    <row r="1" spans="1:10" x14ac:dyDescent="0.3">
      <c r="A1" s="1" t="s">
        <v>3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</row>
    <row r="2" spans="1:10" x14ac:dyDescent="0.3">
      <c r="A2" s="8">
        <v>46088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4</v>
      </c>
      <c r="G2" s="2" t="s">
        <v>21</v>
      </c>
      <c r="H2" s="2">
        <v>8500</v>
      </c>
      <c r="I2" s="2"/>
      <c r="J2" s="2" t="s">
        <v>22</v>
      </c>
    </row>
    <row r="3" spans="1:10" x14ac:dyDescent="0.3">
      <c r="A3" s="8">
        <v>46088</v>
      </c>
      <c r="B3" s="2" t="s">
        <v>17</v>
      </c>
      <c r="C3" s="2" t="s">
        <v>18</v>
      </c>
      <c r="D3" s="2" t="s">
        <v>19</v>
      </c>
      <c r="E3" s="2" t="s">
        <v>20</v>
      </c>
      <c r="F3" s="2" t="s">
        <v>5</v>
      </c>
      <c r="G3" s="2" t="s">
        <v>23</v>
      </c>
      <c r="H3" s="2">
        <v>14800</v>
      </c>
      <c r="J3" s="2" t="s">
        <v>22</v>
      </c>
    </row>
    <row r="4" spans="1:10" x14ac:dyDescent="0.3">
      <c r="A4" s="8">
        <v>46088</v>
      </c>
      <c r="B4" s="2" t="s">
        <v>17</v>
      </c>
      <c r="C4" s="2" t="s">
        <v>18</v>
      </c>
      <c r="D4" s="2" t="s">
        <v>24</v>
      </c>
      <c r="E4" s="2" t="s">
        <v>25</v>
      </c>
      <c r="F4" s="2" t="s">
        <v>7</v>
      </c>
      <c r="G4" s="2" t="s">
        <v>21</v>
      </c>
      <c r="H4" s="2">
        <v>12000</v>
      </c>
      <c r="J4" s="2" t="s">
        <v>22</v>
      </c>
    </row>
    <row r="5" spans="1:10" x14ac:dyDescent="0.3">
      <c r="A5" s="7">
        <v>46100</v>
      </c>
      <c r="B5" t="s">
        <v>17</v>
      </c>
      <c r="C5" t="s">
        <v>26</v>
      </c>
      <c r="D5" t="s">
        <v>27</v>
      </c>
      <c r="E5" t="s">
        <v>28</v>
      </c>
      <c r="F5" t="s">
        <v>7</v>
      </c>
      <c r="G5" t="s">
        <v>21</v>
      </c>
      <c r="H5">
        <v>5500</v>
      </c>
      <c r="I5" t="s">
        <v>29</v>
      </c>
      <c r="J5" t="s">
        <v>30</v>
      </c>
    </row>
    <row r="6" spans="1:10" x14ac:dyDescent="0.3">
      <c r="A6" s="7">
        <v>46100</v>
      </c>
      <c r="B6" t="s">
        <v>17</v>
      </c>
      <c r="C6" t="s">
        <v>18</v>
      </c>
      <c r="D6" t="s">
        <v>19</v>
      </c>
      <c r="E6" t="s">
        <v>31</v>
      </c>
      <c r="F6" t="s">
        <v>7</v>
      </c>
      <c r="G6" t="s">
        <v>21</v>
      </c>
      <c r="H6">
        <v>17000</v>
      </c>
      <c r="I6" t="s">
        <v>32</v>
      </c>
      <c r="J6" t="s">
        <v>30</v>
      </c>
    </row>
    <row r="7" spans="1:10" x14ac:dyDescent="0.3">
      <c r="A7" s="7">
        <v>46100</v>
      </c>
      <c r="B7" t="s">
        <v>17</v>
      </c>
      <c r="C7" t="s">
        <v>33</v>
      </c>
      <c r="D7" t="s">
        <v>33</v>
      </c>
      <c r="E7" t="s">
        <v>34</v>
      </c>
      <c r="F7" t="s">
        <v>7</v>
      </c>
      <c r="G7" t="s">
        <v>21</v>
      </c>
      <c r="H7">
        <v>9000</v>
      </c>
      <c r="I7" t="s">
        <v>35</v>
      </c>
      <c r="J7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baseColWidth="10" defaultColWidth="12.6640625" defaultRowHeight="13.8" x14ac:dyDescent="0.3"/>
  <cols>
    <col min="4" max="4" width="18.77734375" customWidth="1"/>
    <col min="5" max="5" width="17" customWidth="1"/>
    <col min="6" max="6" width="21.109375" customWidth="1"/>
  </cols>
  <sheetData>
    <row r="1" spans="1:7" x14ac:dyDescent="0.3">
      <c r="A1" s="1" t="s">
        <v>12</v>
      </c>
      <c r="B1" s="1" t="s">
        <v>13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</row>
    <row r="2" spans="1:7" x14ac:dyDescent="0.3">
      <c r="A2" s="2" t="s">
        <v>4</v>
      </c>
      <c r="B2" s="2" t="s">
        <v>21</v>
      </c>
      <c r="C2" s="2">
        <v>5</v>
      </c>
      <c r="D2" s="2" t="s">
        <v>41</v>
      </c>
      <c r="E2" s="2" t="s">
        <v>42</v>
      </c>
      <c r="F2" s="2" t="s">
        <v>43</v>
      </c>
      <c r="G2" s="2" t="s">
        <v>44</v>
      </c>
    </row>
    <row r="3" spans="1:7" x14ac:dyDescent="0.3">
      <c r="A3" s="2" t="s">
        <v>5</v>
      </c>
      <c r="B3" s="2" t="s">
        <v>23</v>
      </c>
      <c r="C3" s="2">
        <v>4</v>
      </c>
      <c r="D3" s="2" t="s">
        <v>45</v>
      </c>
      <c r="E3" s="2" t="s">
        <v>46</v>
      </c>
      <c r="F3" s="2" t="s">
        <v>42</v>
      </c>
      <c r="G3" s="2" t="s">
        <v>44</v>
      </c>
    </row>
    <row r="4" spans="1:7" x14ac:dyDescent="0.3">
      <c r="A4" s="2" t="s">
        <v>6</v>
      </c>
      <c r="B4" s="2" t="s">
        <v>21</v>
      </c>
      <c r="C4" s="2">
        <v>3</v>
      </c>
      <c r="D4" s="2" t="s">
        <v>47</v>
      </c>
      <c r="E4" s="2" t="s">
        <v>43</v>
      </c>
      <c r="F4" s="2" t="s">
        <v>43</v>
      </c>
      <c r="G4" s="2" t="s">
        <v>44</v>
      </c>
    </row>
    <row r="5" spans="1:7" x14ac:dyDescent="0.3">
      <c r="A5" s="2" t="s">
        <v>7</v>
      </c>
      <c r="B5" s="2" t="s">
        <v>21</v>
      </c>
      <c r="C5" s="2">
        <v>5</v>
      </c>
      <c r="D5" s="2" t="s">
        <v>48</v>
      </c>
      <c r="E5" s="2" t="s">
        <v>47</v>
      </c>
      <c r="F5" s="2" t="s">
        <v>49</v>
      </c>
      <c r="G5" s="2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workbookViewId="0"/>
  </sheetViews>
  <sheetFormatPr baseColWidth="10" defaultColWidth="12.6640625" defaultRowHeight="13.8" x14ac:dyDescent="0.3"/>
  <cols>
    <col min="1" max="1" width="14.88671875" customWidth="1"/>
    <col min="2" max="2" width="15.21875" customWidth="1"/>
    <col min="3" max="3" width="22.44140625" customWidth="1"/>
    <col min="4" max="4" width="17.21875" customWidth="1"/>
    <col min="5" max="5" width="16.6640625" customWidth="1"/>
  </cols>
  <sheetData>
    <row r="1" spans="1:6" x14ac:dyDescent="0.3">
      <c r="A1" s="1" t="s">
        <v>8</v>
      </c>
      <c r="B1" s="1" t="s">
        <v>9</v>
      </c>
      <c r="C1" s="1" t="s">
        <v>10</v>
      </c>
      <c r="D1" s="1" t="s">
        <v>11</v>
      </c>
      <c r="E1" s="1" t="s">
        <v>50</v>
      </c>
      <c r="F1" s="1" t="s">
        <v>40</v>
      </c>
    </row>
    <row r="2" spans="1:6" x14ac:dyDescent="0.3">
      <c r="A2" s="2" t="s">
        <v>17</v>
      </c>
      <c r="B2" s="2" t="s">
        <v>18</v>
      </c>
      <c r="C2" s="2" t="s">
        <v>19</v>
      </c>
      <c r="D2" s="2" t="s">
        <v>20</v>
      </c>
      <c r="E2" s="2" t="s">
        <v>51</v>
      </c>
      <c r="F2" s="2" t="s">
        <v>44</v>
      </c>
    </row>
    <row r="3" spans="1:6" x14ac:dyDescent="0.3">
      <c r="A3" s="2" t="s">
        <v>17</v>
      </c>
      <c r="B3" s="2" t="s">
        <v>18</v>
      </c>
      <c r="C3" s="2" t="s">
        <v>19</v>
      </c>
      <c r="D3" s="2" t="s">
        <v>52</v>
      </c>
      <c r="E3" s="2" t="s">
        <v>53</v>
      </c>
      <c r="F3" s="2" t="s">
        <v>44</v>
      </c>
    </row>
    <row r="4" spans="1:6" x14ac:dyDescent="0.3">
      <c r="A4" s="2" t="s">
        <v>17</v>
      </c>
      <c r="B4" s="2" t="s">
        <v>25</v>
      </c>
      <c r="C4" s="2" t="s">
        <v>24</v>
      </c>
      <c r="D4" s="2" t="s">
        <v>54</v>
      </c>
      <c r="E4" s="2" t="s">
        <v>55</v>
      </c>
      <c r="F4" s="2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baseColWidth="10" defaultColWidth="12.6640625" defaultRowHeight="13.8" x14ac:dyDescent="0.3"/>
  <cols>
    <col min="1" max="1" width="27.33203125" customWidth="1"/>
    <col min="2" max="2" width="15.33203125" customWidth="1"/>
  </cols>
  <sheetData>
    <row r="1" spans="1:2" x14ac:dyDescent="0.3">
      <c r="A1" s="1" t="s">
        <v>56</v>
      </c>
      <c r="B1" s="1" t="s">
        <v>57</v>
      </c>
    </row>
    <row r="2" spans="1:2" x14ac:dyDescent="0.3">
      <c r="A2" s="2" t="s">
        <v>58</v>
      </c>
      <c r="B2" s="2">
        <v>2798510</v>
      </c>
    </row>
    <row r="3" spans="1:2" x14ac:dyDescent="0.3">
      <c r="A3" s="2" t="s">
        <v>59</v>
      </c>
      <c r="B3" s="2">
        <v>4</v>
      </c>
    </row>
    <row r="4" spans="1:2" x14ac:dyDescent="0.3">
      <c r="A4" s="2" t="s">
        <v>60</v>
      </c>
      <c r="B4" s="8">
        <v>46100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/>
  </sheetViews>
  <sheetFormatPr baseColWidth="10" defaultColWidth="8.88671875" defaultRowHeight="13.8" x14ac:dyDescent="0.3"/>
  <cols>
    <col min="1" max="1" width="22" customWidth="1"/>
    <col min="2" max="2" width="16" customWidth="1"/>
    <col min="3" max="3" width="14" customWidth="1"/>
    <col min="4" max="4" width="26" customWidth="1"/>
    <col min="5" max="5" width="38" customWidth="1"/>
    <col min="6" max="6" width="42" customWidth="1"/>
  </cols>
  <sheetData>
    <row r="1" spans="1:6" x14ac:dyDescent="0.3">
      <c r="A1" s="14" t="s">
        <v>61</v>
      </c>
      <c r="B1" s="13"/>
      <c r="C1" s="13"/>
      <c r="D1" s="13"/>
      <c r="E1" s="13"/>
      <c r="F1" s="13"/>
    </row>
    <row r="2" spans="1:6" x14ac:dyDescent="0.3">
      <c r="A2" s="10" t="s">
        <v>62</v>
      </c>
      <c r="B2" s="10" t="s">
        <v>63</v>
      </c>
      <c r="C2" s="10" t="s">
        <v>64</v>
      </c>
      <c r="D2" s="10" t="s">
        <v>65</v>
      </c>
      <c r="E2" s="10" t="s">
        <v>66</v>
      </c>
      <c r="F2" s="10" t="s">
        <v>67</v>
      </c>
    </row>
    <row r="3" spans="1:6" ht="27.6" x14ac:dyDescent="0.3">
      <c r="A3" s="9" t="s">
        <v>68</v>
      </c>
      <c r="B3" s="9">
        <v>5500</v>
      </c>
      <c r="C3" s="9" t="s">
        <v>69</v>
      </c>
      <c r="D3" s="9" t="s">
        <v>70</v>
      </c>
      <c r="E3" s="9" t="s">
        <v>71</v>
      </c>
      <c r="F3" s="9" t="s">
        <v>72</v>
      </c>
    </row>
    <row r="4" spans="1:6" ht="27.6" x14ac:dyDescent="0.3">
      <c r="A4" s="9" t="s">
        <v>73</v>
      </c>
      <c r="B4" s="9">
        <v>17000</v>
      </c>
      <c r="C4" s="9" t="s">
        <v>69</v>
      </c>
      <c r="D4" s="9" t="s">
        <v>74</v>
      </c>
      <c r="E4" s="9" t="s">
        <v>75</v>
      </c>
      <c r="F4" s="9" t="s">
        <v>76</v>
      </c>
    </row>
    <row r="5" spans="1:6" x14ac:dyDescent="0.3">
      <c r="A5" s="9" t="s">
        <v>77</v>
      </c>
      <c r="B5" s="9">
        <v>4000</v>
      </c>
      <c r="C5" s="9" t="s">
        <v>69</v>
      </c>
      <c r="D5" s="9" t="s">
        <v>78</v>
      </c>
      <c r="E5" s="9" t="s">
        <v>79</v>
      </c>
      <c r="F5" s="9" t="s">
        <v>80</v>
      </c>
    </row>
    <row r="6" spans="1:6" x14ac:dyDescent="0.3">
      <c r="A6" s="9" t="s">
        <v>81</v>
      </c>
      <c r="B6" s="11">
        <f>B3/B4-1</f>
        <v>-0.67647058823529416</v>
      </c>
      <c r="C6" s="9" t="s">
        <v>82</v>
      </c>
      <c r="D6" s="9" t="s">
        <v>83</v>
      </c>
      <c r="E6" s="9" t="s">
        <v>84</v>
      </c>
      <c r="F6" s="9" t="s">
        <v>85</v>
      </c>
    </row>
    <row r="7" spans="1:6" ht="27.6" x14ac:dyDescent="0.3">
      <c r="A7" s="9" t="s">
        <v>86</v>
      </c>
      <c r="B7" s="9" t="s">
        <v>87</v>
      </c>
      <c r="C7" s="9"/>
      <c r="D7" s="9" t="s">
        <v>88</v>
      </c>
      <c r="E7" s="9" t="s">
        <v>89</v>
      </c>
      <c r="F7" s="9" t="s">
        <v>90</v>
      </c>
    </row>
    <row r="8" spans="1:6" ht="27.6" x14ac:dyDescent="0.3">
      <c r="A8" s="9" t="s">
        <v>91</v>
      </c>
      <c r="B8" s="9" t="s">
        <v>92</v>
      </c>
      <c r="C8" s="9"/>
      <c r="D8" s="9" t="s">
        <v>93</v>
      </c>
      <c r="E8" s="9" t="s">
        <v>94</v>
      </c>
      <c r="F8" s="9" t="s">
        <v>95</v>
      </c>
    </row>
    <row r="9" spans="1:6" x14ac:dyDescent="0.3">
      <c r="A9" s="9"/>
      <c r="B9" s="9"/>
      <c r="C9" s="9"/>
      <c r="D9" s="9"/>
      <c r="E9" s="9"/>
      <c r="F9" s="9"/>
    </row>
    <row r="10" spans="1:6" x14ac:dyDescent="0.3">
      <c r="A10" s="12" t="s">
        <v>96</v>
      </c>
      <c r="B10" s="13"/>
      <c r="C10" s="13"/>
      <c r="D10" s="13"/>
      <c r="E10" s="13"/>
      <c r="F10" s="13"/>
    </row>
    <row r="11" spans="1:6" x14ac:dyDescent="0.3">
      <c r="A11" s="10" t="s">
        <v>97</v>
      </c>
      <c r="B11" s="10" t="s">
        <v>98</v>
      </c>
      <c r="C11" s="10" t="s">
        <v>99</v>
      </c>
      <c r="D11" s="10" t="s">
        <v>100</v>
      </c>
      <c r="E11" s="10" t="s">
        <v>101</v>
      </c>
      <c r="F11" s="10" t="s">
        <v>102</v>
      </c>
    </row>
    <row r="12" spans="1:6" x14ac:dyDescent="0.3">
      <c r="A12" s="9" t="s">
        <v>103</v>
      </c>
      <c r="B12" s="9" t="s">
        <v>104</v>
      </c>
      <c r="C12" s="9"/>
      <c r="D12" s="9"/>
      <c r="E12" s="9" t="s">
        <v>105</v>
      </c>
      <c r="F12" s="9"/>
    </row>
    <row r="13" spans="1:6" x14ac:dyDescent="0.3">
      <c r="A13" s="9" t="s">
        <v>106</v>
      </c>
      <c r="B13" s="9" t="s">
        <v>104</v>
      </c>
      <c r="C13" s="9"/>
      <c r="D13" s="9"/>
      <c r="E13" s="9" t="s">
        <v>105</v>
      </c>
      <c r="F13" s="9"/>
    </row>
    <row r="14" spans="1:6" x14ac:dyDescent="0.3">
      <c r="A14" s="9" t="s">
        <v>107</v>
      </c>
      <c r="B14" s="9" t="s">
        <v>104</v>
      </c>
      <c r="C14" s="9"/>
      <c r="D14" s="9"/>
      <c r="E14" s="9" t="s">
        <v>105</v>
      </c>
      <c r="F14" s="9"/>
    </row>
    <row r="15" spans="1:6" x14ac:dyDescent="0.3">
      <c r="A15" s="9" t="s">
        <v>108</v>
      </c>
      <c r="B15" s="9" t="s">
        <v>104</v>
      </c>
      <c r="C15" s="9"/>
      <c r="D15" s="9"/>
      <c r="E15" s="9" t="s">
        <v>105</v>
      </c>
      <c r="F15" s="9"/>
    </row>
    <row r="16" spans="1:6" x14ac:dyDescent="0.3">
      <c r="A16" s="9" t="s">
        <v>109</v>
      </c>
      <c r="B16" s="9" t="s">
        <v>104</v>
      </c>
      <c r="C16" s="9"/>
      <c r="D16" s="9"/>
      <c r="E16" s="9" t="s">
        <v>105</v>
      </c>
      <c r="F16" s="9"/>
    </row>
    <row r="17" spans="1:6" x14ac:dyDescent="0.3">
      <c r="A17" s="9" t="s">
        <v>110</v>
      </c>
      <c r="B17" s="9" t="s">
        <v>104</v>
      </c>
      <c r="C17" s="9"/>
      <c r="D17" s="9"/>
      <c r="E17" s="9" t="s">
        <v>105</v>
      </c>
      <c r="F17" s="9"/>
    </row>
    <row r="18" spans="1:6" x14ac:dyDescent="0.3">
      <c r="A18" s="9"/>
      <c r="B18" s="9"/>
      <c r="C18" s="9"/>
      <c r="D18" s="9"/>
      <c r="E18" s="9"/>
      <c r="F18" s="9"/>
    </row>
    <row r="19" spans="1:6" x14ac:dyDescent="0.3">
      <c r="A19" s="12" t="s">
        <v>111</v>
      </c>
      <c r="B19" s="13"/>
      <c r="C19" s="13"/>
      <c r="D19" s="13"/>
      <c r="E19" s="13"/>
      <c r="F19" s="13"/>
    </row>
    <row r="20" spans="1:6" ht="40.049999999999997" customHeight="1" x14ac:dyDescent="0.3">
      <c r="A20" s="13" t="s">
        <v>112</v>
      </c>
      <c r="B20" s="13"/>
      <c r="C20" s="13"/>
      <c r="D20" s="13"/>
      <c r="E20" s="13"/>
      <c r="F20" s="13"/>
    </row>
    <row r="21" spans="1:6" ht="31.95" customHeight="1" x14ac:dyDescent="0.3">
      <c r="A21" s="13"/>
      <c r="B21" s="13"/>
      <c r="C21" s="13"/>
      <c r="D21" s="13"/>
      <c r="E21" s="13"/>
      <c r="F21" s="13"/>
    </row>
  </sheetData>
  <mergeCells count="4">
    <mergeCell ref="A19:F19"/>
    <mergeCell ref="A20:F21"/>
    <mergeCell ref="A1:F1"/>
    <mergeCell ref="A10:F10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Canasta_25</vt:lpstr>
      <vt:lpstr>Carga_Semanal</vt:lpstr>
      <vt:lpstr>Catalogo_Productos</vt:lpstr>
      <vt:lpstr>Catalogo_Locales</vt:lpstr>
      <vt:lpstr>Parametros</vt:lpstr>
      <vt:lpstr>Tomate_19-03-2026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Vergara</dc:creator>
  <cp:lastModifiedBy>Jorge Vergara</cp:lastModifiedBy>
  <dcterms:created xsi:type="dcterms:W3CDTF">2026-03-19T14:33:20Z</dcterms:created>
  <dcterms:modified xsi:type="dcterms:W3CDTF">2026-03-19T14:33:20Z</dcterms:modified>
</cp:coreProperties>
</file>